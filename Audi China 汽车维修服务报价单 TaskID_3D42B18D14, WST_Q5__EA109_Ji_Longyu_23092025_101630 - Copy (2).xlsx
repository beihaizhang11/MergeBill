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evelop\ExcelTools\MergeBill\"/>
    </mc:Choice>
  </mc:AlternateContent>
  <xr:revisionPtr revIDLastSave="0" documentId="13_ncr:1_{70ABD45C-9566-407A-AD5E-D16A7A26FDEB}" xr6:coauthVersionLast="47" xr6:coauthVersionMax="47" xr10:uidLastSave="{00000000-0000-0000-0000-000000000000}"/>
  <bookViews>
    <workbookView xWindow="28680" yWindow="-120" windowWidth="18240" windowHeight="283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8" i="1"/>
  <c r="D18" i="1"/>
  <c r="E17" i="1"/>
  <c r="D17" i="1"/>
  <c r="E16" i="1"/>
  <c r="D16" i="1"/>
  <c r="D15" i="1"/>
</calcChain>
</file>

<file path=xl/sharedStrings.xml><?xml version="1.0" encoding="utf-8"?>
<sst xmlns="http://schemas.openxmlformats.org/spreadsheetml/2006/main" count="50" uniqueCount="47">
  <si>
    <t>测试车备用及保养零件请购及收货明细单(框架内项目免工时服务费，物料费7.9折)</t>
  </si>
  <si>
    <t>项目请购流水号：</t>
  </si>
  <si>
    <t>买方：</t>
  </si>
  <si>
    <t>供应商名称：</t>
  </si>
  <si>
    <t>北京华阳奥通汽车销售有限公司</t>
  </si>
  <si>
    <t>车辆管理经理 ：</t>
  </si>
  <si>
    <t>Liwei.Zhou@audi.com.cn;xiaorui.ye@audi.com.cn</t>
  </si>
  <si>
    <t>需求人</t>
  </si>
  <si>
    <t>工单流水号</t>
  </si>
  <si>
    <t>需求人电话</t>
  </si>
  <si>
    <t>18518289076</t>
  </si>
  <si>
    <t>目的站国家：</t>
  </si>
  <si>
    <t>北京</t>
  </si>
  <si>
    <t>底盘号参考：</t>
  </si>
  <si>
    <t>LFV3B2FY2M3442985</t>
  </si>
  <si>
    <t>具体收货地址：</t>
  </si>
  <si>
    <t xml:space="preserve">北京市朝阳区酒仙桥东路751D-park </t>
  </si>
  <si>
    <t>内部项目号：</t>
  </si>
  <si>
    <t>C-EA2</t>
  </si>
  <si>
    <t>收货人：</t>
  </si>
  <si>
    <t>Ji, Longyu</t>
  </si>
  <si>
    <t>2025-09-23 14:11:21</t>
  </si>
  <si>
    <t>联系电话：</t>
  </si>
  <si>
    <t>如需协助，请联系 张巨峰 13381097018</t>
  </si>
  <si>
    <t>收货人确认签收：</t>
  </si>
  <si>
    <t>需求明细描述</t>
  </si>
  <si>
    <t>WST_Q5__EA109_Ji_Longyu_23092025_101630</t>
  </si>
  <si>
    <t>订购拖车钩Part Nr.:80D 807 442 DColour: Blue</t>
  </si>
  <si>
    <t>项目明细</t>
  </si>
  <si>
    <t>工时服务费（税后）</t>
  </si>
  <si>
    <t>材料费（税后）</t>
  </si>
  <si>
    <t>合计</t>
  </si>
  <si>
    <t>折后合计</t>
  </si>
  <si>
    <t>供应商备注信息如下：</t>
  </si>
  <si>
    <t>申请人PKI电子授权确认:</t>
  </si>
  <si>
    <t>成本中心主管PKI电子授权确认</t>
  </si>
  <si>
    <t>YANG, QIAOMIN</t>
  </si>
  <si>
    <t>奥迪（中国）企业管理有限公司</t>
  </si>
  <si>
    <t>需求提交时间</t>
  </si>
  <si>
    <t>李辉  lihui@hyat-audi.com</t>
  </si>
  <si>
    <t>PO7300058726</t>
  </si>
  <si>
    <t>合同号</t>
  </si>
  <si>
    <t>申请人请先查看附件pdf中产品需求，提供PKI授权并在此邮件中回复全部，以确保成本中心主管电子授权，供应商提供服务。
供应商请在每次报价中附上大库下单截图</t>
  </si>
  <si>
    <t>TaskID: 3D42B18D14</t>
  </si>
  <si>
    <t>extern.longyu.ji@volkswagen.com.cn</t>
  </si>
  <si>
    <t>a</t>
  </si>
  <si>
    <t>折后总计A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</si>
</sst>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28"/>
      <color theme="1"/>
      <name val="Calibri"/>
      <family val="2"/>
      <charset val="134"/>
      <scheme val="minor"/>
    </font>
    <font>
      <sz val="18"/>
      <color rgb="FFFF0000"/>
      <name val="Calibri"/>
      <family val="2"/>
      <charset val="134"/>
      <scheme val="minor"/>
    </font>
    <font>
      <sz val="20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5" fillId="0" borderId="0" xfId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/>
    <xf numFmtId="0" fontId="4" fillId="3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6" fillId="0" borderId="1" xfId="0" applyFont="1" applyBorder="1" applyAlignment="1">
      <alignment horizontal="center"/>
    </xf>
    <xf numFmtId="0" fontId="0" fillId="0" borderId="2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tern.longyu.ji@volkswagen.com.cn" TargetMode="External"/><Relationship Id="rId1" Type="http://schemas.openxmlformats.org/officeDocument/2006/relationships/hyperlink" Target="mailto:Liwei.Zhou@audi.com.cn;xiaorui.ye@aud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3"/>
  <sheetViews>
    <sheetView tabSelected="1" view="pageBreakPreview" topLeftCell="A9" zoomScale="80" zoomScaleNormal="100" zoomScaleSheetLayoutView="80" workbookViewId="0">
      <selection activeCell="E19" sqref="E19"/>
    </sheetView>
  </sheetViews>
  <sheetFormatPr defaultColWidth="9.140625" defaultRowHeight="15"/>
  <cols>
    <col min="1" max="1" width="34.85546875" customWidth="1"/>
    <col min="2" max="2" width="40" bestFit="1" customWidth="1"/>
    <col min="3" max="3" width="28.85546875" customWidth="1"/>
    <col min="4" max="4" width="27.85546875" customWidth="1"/>
    <col min="5" max="5" width="64.140625" customWidth="1"/>
  </cols>
  <sheetData>
    <row r="1" spans="1:5" ht="32.25" customHeight="1">
      <c r="A1" s="19" t="s">
        <v>0</v>
      </c>
      <c r="B1" s="20"/>
      <c r="C1" s="20"/>
      <c r="D1" s="20"/>
      <c r="E1" s="15"/>
    </row>
    <row r="2" spans="1:5" s="12" customFormat="1" ht="40.5" customHeight="1">
      <c r="A2" s="30" t="s">
        <v>41</v>
      </c>
      <c r="B2" s="31"/>
      <c r="C2" s="32" t="s">
        <v>40</v>
      </c>
      <c r="D2" s="33"/>
      <c r="E2" s="33"/>
    </row>
    <row r="3" spans="1:5" ht="32.25" customHeight="1">
      <c r="A3" s="27" t="s">
        <v>43</v>
      </c>
      <c r="B3" s="28"/>
      <c r="C3" s="28"/>
      <c r="D3" s="28"/>
      <c r="E3" s="29"/>
    </row>
    <row r="4" spans="1:5" ht="23.25" customHeight="1">
      <c r="A4" s="7" t="s">
        <v>1</v>
      </c>
      <c r="B4" s="21"/>
      <c r="C4" s="15"/>
      <c r="D4" s="7" t="s">
        <v>2</v>
      </c>
      <c r="E4" s="8" t="s">
        <v>37</v>
      </c>
    </row>
    <row r="5" spans="1:5" ht="23.25" customHeight="1">
      <c r="A5" s="7" t="s">
        <v>3</v>
      </c>
      <c r="B5" s="21" t="s">
        <v>4</v>
      </c>
      <c r="C5" s="15"/>
      <c r="D5" s="7" t="s">
        <v>5</v>
      </c>
      <c r="E5" s="5" t="s">
        <v>6</v>
      </c>
    </row>
    <row r="6" spans="1:5" ht="23.25" customHeight="1">
      <c r="A6" s="7" t="s">
        <v>7</v>
      </c>
      <c r="B6" s="23" t="s">
        <v>44</v>
      </c>
      <c r="C6" s="18"/>
      <c r="D6" s="7" t="s">
        <v>8</v>
      </c>
      <c r="E6" s="8"/>
    </row>
    <row r="7" spans="1:5" ht="23.25" customHeight="1">
      <c r="A7" s="7" t="s">
        <v>9</v>
      </c>
      <c r="B7" s="24" t="s">
        <v>10</v>
      </c>
      <c r="C7" s="18"/>
      <c r="D7" s="7" t="s">
        <v>11</v>
      </c>
      <c r="E7" s="8" t="s">
        <v>12</v>
      </c>
    </row>
    <row r="8" spans="1:5" ht="23.25" customHeight="1">
      <c r="A8" s="7" t="s">
        <v>13</v>
      </c>
      <c r="B8" s="24" t="s">
        <v>14</v>
      </c>
      <c r="C8" s="18"/>
      <c r="D8" s="7" t="s">
        <v>15</v>
      </c>
      <c r="E8" s="8" t="s">
        <v>16</v>
      </c>
    </row>
    <row r="9" spans="1:5" ht="23.25" customHeight="1">
      <c r="A9" s="7" t="s">
        <v>17</v>
      </c>
      <c r="B9" s="10" t="s">
        <v>18</v>
      </c>
      <c r="C9" s="7"/>
      <c r="D9" s="7" t="s">
        <v>19</v>
      </c>
      <c r="E9" s="9" t="s">
        <v>20</v>
      </c>
    </row>
    <row r="10" spans="1:5" ht="23.25" customHeight="1">
      <c r="A10" s="7" t="s">
        <v>38</v>
      </c>
      <c r="B10" s="10" t="s">
        <v>21</v>
      </c>
      <c r="C10" s="7"/>
      <c r="D10" s="7" t="s">
        <v>22</v>
      </c>
      <c r="E10" s="9" t="s">
        <v>10</v>
      </c>
    </row>
    <row r="11" spans="1:5" ht="23.25" customHeight="1">
      <c r="A11" s="26" t="s">
        <v>23</v>
      </c>
      <c r="B11" s="20"/>
      <c r="C11" s="15"/>
      <c r="D11" s="6" t="s">
        <v>24</v>
      </c>
      <c r="E11" s="8"/>
    </row>
    <row r="12" spans="1:5" ht="23.25" customHeight="1">
      <c r="A12" s="7" t="s">
        <v>25</v>
      </c>
      <c r="B12" s="7"/>
      <c r="C12" s="7" t="s">
        <v>8</v>
      </c>
      <c r="D12" s="24" t="s">
        <v>26</v>
      </c>
      <c r="E12" s="18"/>
    </row>
    <row r="13" spans="1:5" ht="97.5" customHeight="1">
      <c r="A13" s="16" t="s">
        <v>27</v>
      </c>
      <c r="B13" s="17"/>
      <c r="C13" s="17"/>
      <c r="D13" s="17"/>
      <c r="E13" s="18"/>
    </row>
    <row r="14" spans="1:5" ht="23.25" customHeight="1">
      <c r="A14" s="7" t="s">
        <v>28</v>
      </c>
      <c r="B14" s="7" t="s">
        <v>29</v>
      </c>
      <c r="C14" s="7" t="s">
        <v>30</v>
      </c>
      <c r="D14" s="8" t="s">
        <v>31</v>
      </c>
      <c r="E14" s="7" t="s">
        <v>32</v>
      </c>
    </row>
    <row r="15" spans="1:5" ht="23.25" customHeight="1">
      <c r="A15" s="2" t="s">
        <v>45</v>
      </c>
      <c r="B15" s="7"/>
      <c r="C15" s="7"/>
      <c r="D15" s="8">
        <f>B15+C15</f>
        <v>0</v>
      </c>
      <c r="E15" s="3">
        <f>B15*0+C15*0.79</f>
        <v>0</v>
      </c>
    </row>
    <row r="16" spans="1:5" ht="23.25" customHeight="1">
      <c r="A16" s="2"/>
      <c r="B16" s="7"/>
      <c r="C16" s="7"/>
      <c r="D16" s="8">
        <f>B16+C16</f>
        <v>0</v>
      </c>
      <c r="E16" s="3">
        <f>B16*0+C16*0.79</f>
        <v>0</v>
      </c>
    </row>
    <row r="17" spans="1:5" ht="23.25" customHeight="1">
      <c r="A17" s="2"/>
      <c r="B17" s="7"/>
      <c r="C17" s="7"/>
      <c r="D17" s="8">
        <f>B17+C17</f>
        <v>0</v>
      </c>
      <c r="E17" s="3">
        <f>B17*0+C17*0.79</f>
        <v>0</v>
      </c>
    </row>
    <row r="18" spans="1:5" ht="23.25" customHeight="1">
      <c r="A18" s="2"/>
      <c r="B18" s="7"/>
      <c r="C18" s="7"/>
      <c r="D18" s="8">
        <f>B18+C18</f>
        <v>0</v>
      </c>
      <c r="E18" s="3">
        <f>B18*0+C18*0.79</f>
        <v>0</v>
      </c>
    </row>
    <row r="19" spans="1:5" ht="23.25" customHeight="1">
      <c r="A19" s="2"/>
      <c r="B19" s="2"/>
      <c r="C19" s="2"/>
      <c r="D19" s="7" t="s">
        <v>46</v>
      </c>
      <c r="E19" s="3">
        <v>999.99900000000002</v>
      </c>
    </row>
    <row r="20" spans="1:5" ht="23.25" customHeight="1">
      <c r="A20" s="2" t="s">
        <v>33</v>
      </c>
      <c r="B20" s="13" t="s">
        <v>39</v>
      </c>
      <c r="C20" s="13">
        <v>18601305212</v>
      </c>
      <c r="D20" s="7"/>
      <c r="E20" s="3"/>
    </row>
    <row r="21" spans="1:5" ht="46.15" customHeight="1">
      <c r="A21" s="25" t="s">
        <v>42</v>
      </c>
      <c r="B21" s="20"/>
      <c r="C21" s="20"/>
      <c r="D21" s="20"/>
      <c r="E21" s="15"/>
    </row>
    <row r="22" spans="1:5" ht="71.25" customHeight="1">
      <c r="A22" s="22" t="s">
        <v>34</v>
      </c>
      <c r="B22" s="15"/>
      <c r="C22" s="22" t="s">
        <v>35</v>
      </c>
      <c r="D22" s="20"/>
      <c r="E22" s="15"/>
    </row>
    <row r="23" spans="1:5" ht="84" customHeight="1">
      <c r="A23" s="11" t="s">
        <v>20</v>
      </c>
      <c r="B23" s="4"/>
      <c r="C23" s="14" t="s">
        <v>36</v>
      </c>
      <c r="D23" s="15"/>
      <c r="E23" s="1"/>
    </row>
  </sheetData>
  <mergeCells count="16">
    <mergeCell ref="C23:D23"/>
    <mergeCell ref="A13:E13"/>
    <mergeCell ref="A1:E1"/>
    <mergeCell ref="B4:C4"/>
    <mergeCell ref="C22:E22"/>
    <mergeCell ref="A22:B22"/>
    <mergeCell ref="B5:C5"/>
    <mergeCell ref="B6:C6"/>
    <mergeCell ref="B7:C7"/>
    <mergeCell ref="B8:C8"/>
    <mergeCell ref="D12:E12"/>
    <mergeCell ref="A21:E21"/>
    <mergeCell ref="A11:C11"/>
    <mergeCell ref="A3:E3"/>
    <mergeCell ref="A2:B2"/>
    <mergeCell ref="C2:E2"/>
  </mergeCells>
  <hyperlinks>
    <hyperlink ref="E5" r:id="rId1" xr:uid="{00000000-0004-0000-0000-000000000000}"/>
    <hyperlink ref="B6" r:id="rId2" xr:uid="{DF70131D-DEC7-4BFD-9F2E-63DB6A5704A0}"/>
  </hyperlinks>
  <pageMargins left="0.25" right="0.25" top="0.75" bottom="0.75" header="0.3" footer="0.3"/>
  <pageSetup paperSize="9" scale="50" orientation="portrait" r:id="rId3"/>
  <headerFooter>
    <oddHeader>&amp;L&amp;"Calibri"&amp;10&amp;K000000 INTERNAL&amp;1#_x000D_&amp;"Calibri"&amp;11&amp;K000000&amp;"Calibri"&amp;11&amp;K000000&amp;"Calibri"&amp;1 &amp;K000000 INTERNAL#_x000D_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Zheng</dc:creator>
  <cp:lastModifiedBy>Zhang, Bohan (Sam) (C/EV-L)</cp:lastModifiedBy>
  <cp:lastPrinted>2022-08-13T02:18:29Z</cp:lastPrinted>
  <dcterms:created xsi:type="dcterms:W3CDTF">2022-06-17T05:40:42Z</dcterms:created>
  <dcterms:modified xsi:type="dcterms:W3CDTF">2025-12-19T08:14:46Z</dcterms:modified>
</cp:coreProperties>
</file>